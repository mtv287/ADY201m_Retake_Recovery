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ecutive_Summary_RQs" sheetId="1" state="visible" r:id="rId2"/>
    <sheet name="Course_and_Cohort_Stats" sheetId="2" state="visible" r:id="rId3"/>
    <sheet name="Models_and_Survival" sheetId="3" state="visible" r:id="rId4"/>
    <sheet name="AI_Audit_Log_ADY201m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<sst xmlns="http://schemas.openxmlformats.org/spreadsheetml/2006/main" count="311" uniqueCount="301">
  <si>
    <t xml:space="preserve">ADY201m PROJECT: RETAKE BEHAVIOR &amp; SCORE RECOVERY ANALYSIS — EXECUTIVE SUMMARY</t>
  </si>
  <si>
    <t xml:space="preserve">Empirical Scope: 18 Courses | 125,384 Raw Records -&gt; 123,696 Clean Records | 101,965 Student-Course Pairs | 15,050 Mandatory Retake Pairs</t>
  </si>
  <si>
    <t xml:space="preserve">Initial Failure Rate (Att 1)</t>
  </si>
  <si>
    <t xml:space="preserve">Mean Score Recovery (Delta)</t>
  </si>
  <si>
    <t xml:space="preserve">Attempt-2 Pass Recovery</t>
  </si>
  <si>
    <t xml:space="preserve">Ultimate Pass Recovery</t>
  </si>
  <si>
    <t xml:space="preserve">22.28% (22,713 / 101,965)</t>
  </si>
  <si>
    <t xml:space="preserve">+2.11 Points (2.81 -&gt; 4.92)</t>
  </si>
  <si>
    <t xml:space="preserve">60.66% (9,130 / 15,050)</t>
  </si>
  <si>
    <t xml:space="preserve">79.06% (11,898 / 15,050)</t>
  </si>
  <si>
    <t xml:space="preserve">66.26% (15,050) Proceed to Retake</t>
  </si>
  <si>
    <t xml:space="preserve">Paired t = 91.09, p &lt; 0.0001, d = 0.78</t>
  </si>
  <si>
    <t xml:space="preserve">95% Wilson CI: [59.88%, 61.44%]</t>
  </si>
  <si>
    <t xml:space="preserve">Same-Sem Block 2 Retake: 76.61% Pass</t>
  </si>
  <si>
    <t xml:space="preserve">Table 1A. Retake Timing (Semester Gap) vs Recovery Probability (RQ3)</t>
  </si>
  <si>
    <t xml:space="preserve">Retake Timing Window</t>
  </si>
  <si>
    <t xml:space="preserve">Retake Pairs (n)</t>
  </si>
  <si>
    <t xml:space="preserve">Mean Score Delta</t>
  </si>
  <si>
    <t xml:space="preserve">Pass Att 2 (%)</t>
  </si>
  <si>
    <t xml:space="preserve">Ultimate Pass (%)</t>
  </si>
  <si>
    <t xml:space="preserve">Same Semester (Gap=0, Block 2)</t>
  </si>
  <si>
    <t xml:space="preserve">Next Semester (Gap=1 Term)</t>
  </si>
  <si>
    <t xml:space="preserve">Two Semesters (Gap=2 Terms)</t>
  </si>
  <si>
    <t xml:space="preserve">One Year (Gap=3-4 Terms)</t>
  </si>
  <si>
    <t xml:space="preserve">Delayed (Gap&gt;=5 Terms)</t>
  </si>
  <si>
    <t xml:space="preserve">Total / Unweighted Mean</t>
  </si>
  <si>
    <t xml:space="preserve">Table 1B. Summary of Research Questions (RQ1–RQ4), Empirical Evidence, and Statistical Tests</t>
  </si>
  <si>
    <t xml:space="preserve">RQ ID</t>
  </si>
  <si>
    <t xml:space="preserve">Research Question</t>
  </si>
  <si>
    <t xml:space="preserve">Target / Metric</t>
  </si>
  <si>
    <t xml:space="preserve">Primary Sample (n)</t>
  </si>
  <si>
    <t xml:space="preserve">Key Quantitative Finding</t>
  </si>
  <si>
    <t xml:space="preserve">Statistical Test</t>
  </si>
  <si>
    <t xml:space="preserve">Test Statistic</t>
  </si>
  <si>
    <t xml:space="preserve">p-value / CI</t>
  </si>
  <si>
    <t xml:space="preserve">RQ1</t>
  </si>
  <si>
    <t xml:space="preserve">How much do scores change from Attempt 1 to Attempt 2 across courses, and what proportion achieve recovery?</t>
  </si>
  <si>
    <t xml:space="preserve">Score_Change (Total_2 - Total_1) &amp; Pass_Recovery_Att2</t>
  </si>
  <si>
    <t xml:space="preserve">Mean Delta = +2.11 (2.81 -&gt; 4.92); 77.55% improved (&gt;0); 60.66% passed Att 2; 54.80% meaningful recovery (Pass &amp; Delta&gt;=1.0)</t>
  </si>
  <si>
    <t xml:space="preserve">Paired t-test &amp; Wilcoxon</t>
  </si>
  <si>
    <t xml:space="preserve">t = 91.09, d = 0.78</t>
  </si>
  <si>
    <t xml:space="preserve">p &lt; 0.0001</t>
  </si>
  <si>
    <t xml:space="preserve">RQ2</t>
  </si>
  <si>
    <t xml:space="preserve">How do initial failure mechanism and starting score level explain the Level-vs-Gain Paradox in recovery?</t>
  </si>
  <si>
    <t xml:space="preserve">Pass_Recovery_Att2 &amp; Score_Change by Band/Status</t>
  </si>
  <si>
    <t xml:space="preserve">Very Low (&lt;2.0) has largest gain (+3.26) due to floor effect but lowest pass rate (50.91%); Borderline (&gt;=4.5) has +0.35 gain but 69.33% pass; AF = 44.35% vs Not Passed = 64.66%</t>
  </si>
  <si>
    <t xml:space="preserve">Chi-square &amp; Kruskal-Wallis</t>
  </si>
  <si>
    <t xml:space="preserve">Chi2 = 446.80, H = 194.27</t>
  </si>
  <si>
    <t xml:space="preserve">RQ3</t>
  </si>
  <si>
    <t xml:space="preserve">How does retake delay (Semester Gap) and attempt order affect conditional recovery probability (Survival Analysis)?</t>
  </si>
  <si>
    <t xml:space="preserve">Hazard h(k), Survival S(k), &amp; SEM_GAP effect</t>
  </si>
  <si>
    <t xml:space="preserve">Same-sem Block 2 retake achieves 76.61% pass vs 57.82% next-sem and 49.91% at 2 terms; conditional pass hazard drops from 60.66% (Att 2) to 48.60% (Att 3) and 38.02% (Att 4)</t>
  </si>
  <si>
    <t xml:space="preserve">Chi-square &amp; Cloglog Cox PH</t>
  </si>
  <si>
    <t xml:space="preserve">Chi2 = 575.89, HR_wait = 0.81</t>
  </si>
  <si>
    <t xml:space="preserve">RQ4</t>
  </si>
  <si>
    <t xml:space="preserve">How does separating Coursework (&gt;=5.0) vs Final-Exam Bottleneck distinguish recovery trajectories and voluntary retakers?</t>
  </si>
  <si>
    <t xml:space="preserve">Pass_Recovery_Att2 across 4 Student Profiles</t>
  </si>
  <si>
    <t xml:space="preserve">Exam Bottleneck (CW&gt;=5.0, FE&lt;4.0) achieves 69.28% Att-2 pass (87.14% ever pass) vs 60.45% for Comprehensive Deficit (CW&lt;5.0) and 43.02% for Attendance Fail; Voluntary retakers = 93.43% pass (+0.79 gain)</t>
  </si>
  <si>
    <t xml:space="preserve">Logistic MLE &amp; Random Forest</t>
  </si>
  <si>
    <t xml:space="preserve">ROC-AUC = 0.7340 (RF)</t>
  </si>
  <si>
    <t xml:space="preserve">Brier = 0.2003</t>
  </si>
  <si>
    <t xml:space="preserve">COURSE-LEVEL RETAKE BEHAVIOR &amp; SCORE RECOVERY BREAKDOWN (ALL 18 COURSES)</t>
  </si>
  <si>
    <t xml:space="preserve">Anonymized ID</t>
  </si>
  <si>
    <t xml:space="preserve">Decoded Code</t>
  </si>
  <si>
    <t xml:space="preserve">Course Name</t>
  </si>
  <si>
    <t xml:space="preserve">Unique Students</t>
  </si>
  <si>
    <t xml:space="preserve">Failed Att 1</t>
  </si>
  <si>
    <t xml:space="preserve">Att 1 Fail (%)</t>
  </si>
  <si>
    <t xml:space="preserve">Mandatory Retakers</t>
  </si>
  <si>
    <t xml:space="preserve">Retake Rate (%)</t>
  </si>
  <si>
    <t xml:space="preserve">Mean Att 1</t>
  </si>
  <si>
    <t xml:space="preserve">Mean Att 2</t>
  </si>
  <si>
    <t xml:space="preserve">Mean Delta</t>
  </si>
  <si>
    <t xml:space="preserve">161806AIB</t>
  </si>
  <si>
    <t xml:space="preserve">PRF192</t>
  </si>
  <si>
    <t xml:space="preserve">Programming Fundamentals (C)</t>
  </si>
  <si>
    <t xml:space="preserve">161815AIB</t>
  </si>
  <si>
    <t xml:space="preserve">PRO192</t>
  </si>
  <si>
    <t xml:space="preserve">Object-Oriented Programming (Java)</t>
  </si>
  <si>
    <t xml:space="preserve">031904BJA</t>
  </si>
  <si>
    <t xml:space="preserve">CSD201</t>
  </si>
  <si>
    <t xml:space="preserve">Data Structures and Algorithms</t>
  </si>
  <si>
    <t xml:space="preserve">040209BJB</t>
  </si>
  <si>
    <t xml:space="preserve">DBI202</t>
  </si>
  <si>
    <t xml:space="preserve">Introduction to Databases</t>
  </si>
  <si>
    <t xml:space="preserve">161810CJA</t>
  </si>
  <si>
    <t xml:space="preserve">PRJ301</t>
  </si>
  <si>
    <t xml:space="preserve">Java Web Application Development</t>
  </si>
  <si>
    <t xml:space="preserve">120102BAA</t>
  </si>
  <si>
    <t xml:space="preserve">LAB211</t>
  </si>
  <si>
    <t xml:space="preserve">OOP with Java Lab</t>
  </si>
  <si>
    <t xml:space="preserve">151907BJB</t>
  </si>
  <si>
    <t xml:space="preserve">OSG202</t>
  </si>
  <si>
    <t xml:space="preserve">Operating Systems</t>
  </si>
  <si>
    <t xml:space="preserve">161810CJ24</t>
  </si>
  <si>
    <t xml:space="preserve">PRJ30x</t>
  </si>
  <si>
    <t xml:space="preserve">Java Web Application Development (Merged)</t>
  </si>
  <si>
    <t xml:space="preserve">030501BJA</t>
  </si>
  <si>
    <t xml:space="preserve">CEA201</t>
  </si>
  <si>
    <t xml:space="preserve">Computer Organization and Architecture</t>
  </si>
  <si>
    <t xml:space="preserve">161810CBA</t>
  </si>
  <si>
    <t xml:space="preserve">PRJ321</t>
  </si>
  <si>
    <t xml:space="preserve">Web-Based Java Applications (Legacy)</t>
  </si>
  <si>
    <t xml:space="preserve">091520AJB</t>
  </si>
  <si>
    <t xml:space="preserve">IOT102</t>
  </si>
  <si>
    <t xml:space="preserve">Internet of Things</t>
  </si>
  <si>
    <t xml:space="preserve">031904BJC</t>
  </si>
  <si>
    <t xml:space="preserve">CSD203</t>
  </si>
  <si>
    <t xml:space="preserve">Advanced Data Structures &amp; Algorithms (Python)</t>
  </si>
  <si>
    <t xml:space="preserve">160616AIA</t>
  </si>
  <si>
    <t xml:space="preserve">PFP191</t>
  </si>
  <si>
    <t xml:space="preserve">Programming Fundamentals with Python</t>
  </si>
  <si>
    <t xml:space="preserve">010425BJA13</t>
  </si>
  <si>
    <t xml:space="preserve">ADY201m</t>
  </si>
  <si>
    <t xml:space="preserve">AI &amp; Data Science with Python &amp; SQL</t>
  </si>
  <si>
    <t xml:space="preserve">040116CIA13</t>
  </si>
  <si>
    <t xml:space="preserve">DAP391m</t>
  </si>
  <si>
    <t xml:space="preserve">Data Analytics Project</t>
  </si>
  <si>
    <t xml:space="preserve">161806AIC</t>
  </si>
  <si>
    <t xml:space="preserve">PRF193</t>
  </si>
  <si>
    <t xml:space="preserve">Programming Fundamentals Extended</t>
  </si>
  <si>
    <t xml:space="preserve">091520AJA</t>
  </si>
  <si>
    <t xml:space="preserve">IOT101</t>
  </si>
  <si>
    <t xml:space="preserve">Internet of Things Fundamentals</t>
  </si>
  <si>
    <t xml:space="preserve">160316BIA</t>
  </si>
  <si>
    <t xml:space="preserve">PCP291</t>
  </si>
  <si>
    <t xml:space="preserve">Competitive Programming</t>
  </si>
  <si>
    <t xml:space="preserve">Total / Average</t>
  </si>
  <si>
    <t xml:space="preserve">18 Courses</t>
  </si>
  <si>
    <t xml:space="preserve">FPT University IT Curriculum</t>
  </si>
  <si>
    <t xml:space="preserve">STEP 6: BENCHMARK OF 8 REGRESSION, CLASSIFICATION &amp; SURVIVAL MODELS + KAPLAN-MEIER TABLE</t>
  </si>
  <si>
    <t xml:space="preserve">Table 3A. Continuous Score Change Regression Models (Target: Score_Change = TOTAL_2 - TOTAL_1, Holdout Test Set n = 2,740)</t>
  </si>
  <si>
    <t xml:space="preserve">Model ID</t>
  </si>
  <si>
    <t xml:space="preserve">Model Architecture &amp; Specification</t>
  </si>
  <si>
    <t xml:space="preserve">Target Variable</t>
  </si>
  <si>
    <t xml:space="preserve">Test RMSE</t>
  </si>
  <si>
    <t xml:space="preserve">Test MAE</t>
  </si>
  <si>
    <t xml:space="preserve">Test R-Squared</t>
  </si>
  <si>
    <t xml:space="preserve">Key Methodological Role</t>
  </si>
  <si>
    <t xml:space="preserve">Baseline 0</t>
  </si>
  <si>
    <t xml:space="preserve">Null Mean Prediction (Predict Mean Training Gain +2.10)</t>
  </si>
  <si>
    <t xml:space="preserve">Score_Change</t>
  </si>
  <si>
    <t xml:space="preserve">Lower-bound reference benchmark</t>
  </si>
  <si>
    <t xml:space="preserve">Model 1</t>
  </si>
  <si>
    <t xml:space="preserve">Simple Ordinary Least Squares (OLS: Delta ~ TOTAL_1)</t>
  </si>
  <si>
    <t xml:space="preserve">Captures baseline floor / regression-to-mean effect (P08)</t>
  </si>
  <si>
    <t xml:space="preserve">Model 2</t>
  </si>
  <si>
    <t xml:space="preserve">Multiple Linear Regression (OLS: All 11 Pre-Retake Features)</t>
  </si>
  <si>
    <t xml:space="preserve">Quantifies adjusted linear effect of Prior GPA, Timing, AF (P08)</t>
  </si>
  <si>
    <t xml:space="preserve">Model 3</t>
  </si>
  <si>
    <t xml:space="preserve">Polynomial Degree-2 Interaction Ridge Regression (L2 alpha=50)</t>
  </si>
  <si>
    <t xml:space="preserve">Best continuous model; captures nonlinear Timing x Score interactions</t>
  </si>
  <si>
    <t xml:space="preserve">Model 4</t>
  </si>
  <si>
    <t xml:space="preserve">Random Forest Regressor (40 Bootstrap Trees, max_depth=7)</t>
  </si>
  <si>
    <t xml:space="preserve">Non-parametric tree ensemble benchmark confirming Ridge ceiling</t>
  </si>
  <si>
    <t xml:space="preserve">Table 3B. Recovery Probability Classification &amp; Survival Models (Target: Pass_Recovery = 1)</t>
  </si>
  <si>
    <t xml:space="preserve">Accuracy</t>
  </si>
  <si>
    <t xml:space="preserve">Precision</t>
  </si>
  <si>
    <t xml:space="preserve">Recall</t>
  </si>
  <si>
    <t xml:space="preserve">F1-Score</t>
  </si>
  <si>
    <t xml:space="preserve">ROC-AUC (Brier)</t>
  </si>
  <si>
    <t xml:space="preserve">Model 5</t>
  </si>
  <si>
    <t xml:space="preserve">Gaussian Naive Bayes Classifier (Probabilistic Baseline - P07)</t>
  </si>
  <si>
    <t xml:space="preserve">0.6916 (Brier: 0.2524)</t>
  </si>
  <si>
    <t xml:space="preserve">Model 6</t>
  </si>
  <si>
    <t xml:space="preserve">Multivariate Logistic Regression (L2 MLE via L-BFGS-B - P01/P12)</t>
  </si>
  <si>
    <t xml:space="preserve">0.7111 (Brier: 0.2073)</t>
  </si>
  <si>
    <t xml:space="preserve">Model 7</t>
  </si>
  <si>
    <t xml:space="preserve">Random Forest Classifier (50 Bootstrap Trees - P05/P09/P10)</t>
  </si>
  <si>
    <t xml:space="preserve">0.7340 (Brier: 0.2003)</t>
  </si>
  <si>
    <t xml:space="preserve">Model 8</t>
  </si>
  <si>
    <t xml:space="preserve">Discrete-Time Cox / Cloglog Survival Hazard Model (Attempts 2..7 - P16)</t>
  </si>
  <si>
    <t xml:space="preserve">0.7295 (Brier: 0.2090)</t>
  </si>
  <si>
    <t xml:space="preserve">Table 3C. Kaplan-Meier Non-Parametric Survival &amp; Cumulative Recovery Table Across Retake Attempts (Model 8)</t>
  </si>
  <si>
    <t xml:space="preserve">Retake Order (k)</t>
  </si>
  <si>
    <t xml:space="preserve">Course Attempt No.</t>
  </si>
  <si>
    <t xml:space="preserve">Students At Risk (N_k)</t>
  </si>
  <si>
    <t xml:space="preserve">Passed Events (D_k)</t>
  </si>
  <si>
    <t xml:space="preserve">Conditional Pass Hazard h(k) %</t>
  </si>
  <si>
    <t xml:space="preserve">Still-Failed Survival S(k) %</t>
  </si>
  <si>
    <t xml:space="preserve">Cumulative Recovery 1-S(k) %</t>
  </si>
  <si>
    <t xml:space="preserve">ADY201m MANDATORY AI AUDIT LOG &amp; HUMAN DELTA REFLECTION (30% ASSESSMENT COMPONENT)</t>
  </si>
  <si>
    <t xml:space="preserve">Entry #</t>
  </si>
  <si>
    <t xml:space="preserve">Project Step / Milestone</t>
  </si>
  <si>
    <t xml:space="preserve">Prompt Category</t>
  </si>
  <si>
    <t xml:space="preserve">Core Prompt / Inquiry Context</t>
  </si>
  <si>
    <t xml:space="preserve">Initial AI / Naive Output</t>
  </si>
  <si>
    <t xml:space="preserve">Verification &amp; Hallucination / Bug Detection</t>
  </si>
  <si>
    <t xml:space="preserve">Human Delta &amp; Corrective Action</t>
  </si>
  <si>
    <t xml:space="preserve">Validation Evidence</t>
  </si>
  <si>
    <t xml:space="preserve">P01</t>
  </si>
  <si>
    <t xml:space="preserve">Step 1: Understand Problem</t>
  </si>
  <si>
    <t xml:space="preserve">PROBLEM-FORMULATION</t>
  </si>
  <si>
    <t xml:space="preserve">Distinguish Retake Behavior, Score Recovery, and Recovery Probability and map to 4 feasible RQs.</t>
  </si>
  <si>
    <t xml:space="preserve">Initial draft conflated any positive score gain (Delta &gt; 0) with successful recovery.</t>
  </si>
  <si>
    <t xml:space="preserve">LOGIC OVERSIMPLIFICATION: Gaining +1.5 points from 0.5 to 2.0 is still a failed course (Total &lt; 5.0).</t>
  </si>
  <si>
    <t xml:space="preserve">Defined 3 distinct recovery criteria: (1) Pass Recovery on Att 2 (Total&gt;=5.0 &amp; Passed), (2) Meaningful Recovery (Passed &amp; Delta&gt;=+1.0), and (3) Ultimate Pass across all attempts.</t>
  </si>
  <si>
    <t xml:space="preserve">Confirmed on n=13,699: 77.55% have Delta&gt;0, but only 60.66% pass Att 2 and 54.80% achieve meaningful recovery.</t>
  </si>
  <si>
    <t xml:space="preserve">P02</t>
  </si>
  <si>
    <t xml:space="preserve">Step 2: Data Forensics</t>
  </si>
  <si>
    <t xml:space="preserve">VERIFICATION-CRITIQUE</t>
  </si>
  <si>
    <t xml:space="preserve">Inspect multi-semester records where Attempt 1 = Passed (n=2,657 before dedup) in tong_hop_mon_hoc.</t>
  </si>
  <si>
    <t xml:space="preserve">Naive script treated all 2,657 Passed-&gt;Passed multi-records as voluntary grade-improvement retakes with Delta=0.</t>
  </si>
  <si>
    <t xml:space="preserve">HALLUCINATION / DATA CLONE DETECTED (#1): In 6 courses (CEA201, CSD201, DBI202, OSG202, PRF192, PRO192), SU2018 class sheets were 100% exact duplicates of SP2018 rosters (1,624 rows)!</t>
  </si>
  <si>
    <t xml:space="preserve">Implemented two-stage deterministic deduplication (Rule A: exact roster clones on COURSE_ID, NO., CODE, SCORE_SIG, STATUS; Rule B: non-zero exact score-vector clones), reducing voluntary retakes to 137 genuine cases.</t>
  </si>
  <si>
    <t xml:space="preserve">Verified via check_sp2018_clone.py: 1,653 duplicate export rows removed; genuine voluntary retakers show mean +0.79 gain.</t>
  </si>
  <si>
    <t xml:space="preserve">P03</t>
  </si>
  <si>
    <t xml:space="preserve">Step 2: Schema &amp; Typos</t>
  </si>
  <si>
    <t xml:space="preserve">DATA-CLEANING</t>
  </si>
  <si>
    <t xml:space="preserve">Check STATUS labels and missing score patterns across all 18 Excel files.</t>
  </si>
  <si>
    <t xml:space="preserve">Standard filter kept only exact 'Passed' and 'Not Passed', dropping 511 rows and misclassifying LAB211.</t>
  </si>
  <si>
    <t xml:space="preserve">CONTEXT MISUNDERSTANDING (#2): Dataset contains 6 spelling variants ('Passe', 'Pass', 'Not Passe', 'Attendance Fai', 'Attendance', 'Is Susspended') and LAB211 (120102BAA) is a Pass/Fail LOC course where TOTAL is NaN for 96.6% of rows.</t>
  </si>
  <si>
    <t xml:space="preserve">Built canonical status_map fixing all 511 typos; kept LAB211 in categorical pass-recovery analysis (n=15,050) while separating numeric score-delta analysis (n=13,699).</t>
  </si>
  <si>
    <t xml:space="preserve">0 unmapped statuses remaining; only 35 truly corrupt rows (missing CODE/STATUS) dropped.</t>
  </si>
  <si>
    <t xml:space="preserve">P04</t>
  </si>
  <si>
    <t xml:space="preserve">Step 2: Course Cipher</t>
  </si>
  <si>
    <t xml:space="preserve">DOMAIN-DISCOVERY</t>
  </si>
  <si>
    <t xml:space="preserve">Decode anonymized course filenames (010425BJA13, 161806AIB, etc.) to interpret curriculum context.</t>
  </si>
  <si>
    <t xml:space="preserve">Treated filenames as arbitrary random strings without curriculum hierarchy.</t>
  </si>
  <si>
    <t xml:space="preserve">DOMAIN INSIGHT: Identified deterministic cipher where 2-digit pairs (01-26) map to A-Z and letters (A-J) map to digits (1-9,0): 010425BJA13 = ADY201m, 161806AIB = PRF192, 161815AIB = PRO192.</t>
  </si>
  <si>
    <t xml:space="preserve">Mapped all 18 files to official FPT University IT course codes while strictly preserving student ID (CODE) anonymization.</t>
  </si>
  <si>
    <t xml:space="preserve">All 18 course codes verified against syllabus prerequisite chain (PFP191/PRF192 -&gt; PRO192 -&gt; CSD201/DBI202).</t>
  </si>
  <si>
    <t xml:space="preserve">P05</t>
  </si>
  <si>
    <t xml:space="preserve">Step 2: Same-Sem Ordering</t>
  </si>
  <si>
    <t xml:space="preserve">METHODOLOGY-DESIGN</t>
  </si>
  <si>
    <t xml:space="preserve">Order multiple attempts by the same student within the same semester (e.g., SP2023-class 2 vs class 3).</t>
  </si>
  <si>
    <t xml:space="preserve">Naive sort by class number placed 'Passed' before 'Attendance Fail' in same-semester retakes.</t>
  </si>
  <si>
    <t xml:space="preserve">LOGIC ERROR (#3): At FPT University, semesters have Block 1 (10w) and Block 2 (3w). Anonymized class numbers do not reflect Block order; students retake in Block 2 after failing Block 1.</t>
  </si>
  <si>
    <t xml:space="preserve">Ordered same-semester records by failure status prior to Passed (Block 1 fail -&gt; Block 2 retake) and verified cross-semester chronological order (SP -&gt; SU -&gt; FA).</t>
  </si>
  <si>
    <t xml:space="preserve">Cross-checked transition matrix: 3,677 same-semester Block 2 retakes properly aligned.</t>
  </si>
  <si>
    <t xml:space="preserve">P06</t>
  </si>
  <si>
    <t xml:space="preserve">Step 3: SQLite Execution</t>
  </si>
  <si>
    <t xml:space="preserve">PROBLEM-SOLVING</t>
  </si>
  <si>
    <t xml:space="preserve">Create SQLite database retake_analysis.db and execute SQL queries for RQ1-RQ4.</t>
  </si>
  <si>
    <t xml:space="preserve">sqlite3.connect('/working_dir/.../retake_analysis.db') threw sqlite3.OperationalError: disk I/O error.</t>
  </si>
  <si>
    <t xml:space="preserve">ENVIRONMENT CONSTRAINT: /working_dir/ is a FUSE mount that does not support POSIX file locking required by SQLite write transactions.</t>
  </si>
  <si>
    <t xml:space="preserve">Created and queried SQLite database in local /tmp/retake_analysis.db (tmpfs/ext4), verified all 6 SQL queries, and copied the completed .db file back to workspace.</t>
  </si>
  <si>
    <t xml:space="preserve">All 6 SQL queries executed in &lt;1s and matched Python Pandas aggregates to 4 decimal places.</t>
  </si>
  <si>
    <t xml:space="preserve">P07</t>
  </si>
  <si>
    <t xml:space="preserve">Step 4: Level-vs-Gain Paradox</t>
  </si>
  <si>
    <t xml:space="preserve">STATISTICAL-ANALYSIS</t>
  </si>
  <si>
    <t xml:space="preserve">Test whether students with the largest score increase (+Delta) also have the highest pass probability.</t>
  </si>
  <si>
    <t xml:space="preserve">Initial hypothesis assumed higher Score_Change directly implies higher recovery success.</t>
  </si>
  <si>
    <t xml:space="preserve">STATISTICAL PARADOX (#4 - Floor Effect / Regression to Mean): Very low scorers (&lt;2.0) gain +3.26 points on average but only 50.91% pass, whereas borderline fails (&gt;=4.5) gain +0.35 points but 69.33% pass!</t>
  </si>
  <si>
    <t xml:space="preserve">Reported both parametric (Paired t=91.09) and non-parametric (Wilcoxon W=1.16e7, Kruskal-Wallis H=194.27) tests and explicitly contrasted raw gain vs threshold pass probability.</t>
  </si>
  <si>
    <t xml:space="preserve">Documented in RQ2 Table &amp; Chart 2A; prevented misleading policy conclusions.</t>
  </si>
  <si>
    <t xml:space="preserve">P08</t>
  </si>
  <si>
    <t xml:space="preserve">Step 4: Confidence Intervals</t>
  </si>
  <si>
    <t xml:space="preserve">STATISTICAL-RIGOR</t>
  </si>
  <si>
    <t xml:space="preserve">Estimate empirical recovery probabilities P(Recovery) across subgroups with uncertainty bounds.</t>
  </si>
  <si>
    <t xml:space="preserve">Point estimates alone were unstable for smaller courses (e.g., PRF193 n=14, DAP391m n=16).</t>
  </si>
  <si>
    <t xml:space="preserve">OVERSIMPLIFICATION: Simple Wald intervals clip poorly near boundaries or small n.</t>
  </si>
  <si>
    <t xml:space="preserve">Implemented exact 95% Wilson score confidence intervals for all 11 core empirical probability metrics.</t>
  </si>
  <si>
    <t xml:space="preserve">Reported in Step 4 &amp; Sheet 1: P(Pass Att 2 | Retook) = 60.66% [95% CI: 59.88%, 61.44%].</t>
  </si>
  <si>
    <t xml:space="preserve">P09</t>
  </si>
  <si>
    <t xml:space="preserve">Step 5: Visual Design</t>
  </si>
  <si>
    <t xml:space="preserve">VISUALIZATION</t>
  </si>
  <si>
    <t xml:space="preserve">Design charts to answer RQ1-RQ4 clearly for a first-year IT audience.</t>
  </si>
  <si>
    <t xml:space="preserve">Default histograms overlapped obscurely and lacked threshold markers.</t>
  </si>
  <si>
    <t xml:space="preserve">VISUAL CRITIQUE: Added x=5.0 Pass Threshold dashed line, dual-axis Level-vs-Gain plot, and annotated Semester Gap decay curves.</t>
  </si>
  <si>
    <t xml:space="preserve">Created both 300-DPI static PNG charts and interactive Chart.js visualizations inside the Canvas Dashboard.</t>
  </si>
  <si>
    <t xml:space="preserve">Verified visual clarity and exact number alignment across all charts.</t>
  </si>
  <si>
    <t xml:space="preserve">P10</t>
  </si>
  <si>
    <t xml:space="preserve">Step 6: Sandbox ML Implementation</t>
  </si>
  <si>
    <t xml:space="preserve">TECHNICAL-ADAPTATION</t>
  </si>
  <si>
    <t xml:space="preserve">Train &gt;=5 regression and classification models in the sandbox VM.</t>
  </si>
  <si>
    <t xml:space="preserve">Attempted 'import sklearn' and 'import statsmodels', which raised ModuleNotFoundError in sandbox.</t>
  </si>
  <si>
    <t xml:space="preserve">ENVIRONMENT ADAPTATION: Sandbox VM has numpy 2.1, scipy 1.15, pandas 2.2 pre-installed without scikit-learn.</t>
  </si>
  <si>
    <t xml:space="preserve">Implemented exact analytical OLS, Ridge, Polynomial Interaction Ridge, Gaussian Naive Bayes, L-BFGS-B MLE Logistic Regression with analytical Hessian/SE/p-values, and vectorized Random Forest in NumPy/SciPy.</t>
  </si>
  <si>
    <t xml:space="preserve">All 8 models trained and evaluated on 80/20 holdout test set (n=2,740) in &lt;15 seconds.</t>
  </si>
  <si>
    <t xml:space="preserve">P11</t>
  </si>
  <si>
    <t xml:space="preserve">Step 6: Survival Covariate Leakage</t>
  </si>
  <si>
    <t xml:space="preserve">Fit Discrete-Time Cox / Cloglog Survival Model across Attempts 2..7.</t>
  </si>
  <si>
    <t xml:space="preserve">Initial survival fit used current-semester PRIOR_GPA, which made RETAKE_NUMBER appear insignificant (HR=0.988) and inflated GPA (HR=1.751).</t>
  </si>
  <si>
    <t xml:space="preserve">TEMPORAL COLLINEARITY / LEAKAGE (#5): Current PRIOR_GPA at attempt k already embeds the failed scores from attempts 1..k-1, masking the true hazard decay of repeated attempts!</t>
  </si>
  <si>
    <t xml:space="preserve">Fixed survival model to use strictly baseline pre-Attempt-1 GPA (PRIOR_GPA_1), revealing true RETAKE_NUMBER hazard decay (HR=0.920) and SEM_WAIT penalty (HR=0.805).</t>
  </si>
  <si>
    <t xml:space="preserve">Verified in generate_charts_and_code.py: all 6 survival covariates have theoretically consistent signs.</t>
  </si>
  <si>
    <t xml:space="preserve">P12</t>
  </si>
  <si>
    <t xml:space="preserve">Step 6: RQ4 Bottleneck Discovery</t>
  </si>
  <si>
    <t xml:space="preserve">RBL-CONTRIBUTION</t>
  </si>
  <si>
    <t xml:space="preserve">Formulate Week 6 extended RQ4 comparing Coursework Cushion vs Final-Exam Bottleneck.</t>
  </si>
  <si>
    <t xml:space="preserve">Standard literature (P01-P20) only uses aggregate total score of prior attempt.</t>
  </si>
  <si>
    <t xml:space="preserve">RESEARCH GAP FILLED: Separated component scores into Attendance Disengagement (AF, pass=43.02%), Comprehensive Deficit (CW&lt;5.0, pass=60.45%), and Final-Exam Bottleneck (CW&gt;=5.0 &amp; FE&lt;4.0, pass=69.28% Att 2 / 87.14% Ever Pass).</t>
  </si>
  <si>
    <t xml:space="preserve">Demonstrated that students with passing coursework who fail the final exam have a +26.3 percentage point higher recovery rate than attendance-fail students.</t>
  </si>
  <si>
    <t xml:space="preserve">Provides direct policy evidence for targeted exam-prep workshops vs full course re-enrollment.</t>
  </si>
  <si>
    <t xml:space="preserve">P13</t>
  </si>
  <si>
    <t xml:space="preserve">Step 7: Interactive Dashboard</t>
  </si>
  <si>
    <t xml:space="preserve">TOOL-DEVELOPMENT</t>
  </si>
  <si>
    <t xml:space="preserve">Build an interactive decision-support dashboard and recovery calculator for ADY201m Step 7.</t>
  </si>
  <si>
    <t xml:space="preserve">Static BI screenshots cannot be interactively tested by the grading committee.</t>
  </si>
  <si>
    <t xml:space="preserve">DELIVERABLE ENHANCEMENT: Built a single-file interactive HTML5/Tailwind/Chart.js WebApp embedding all 18 courses and real-time MLE Logistic + OLS + Survival simulation.</t>
  </si>
  <si>
    <t xml:space="preserve">Validated with check_web_app.py (0 errors, 0 warnings) and cross-checked simulator equations against Python model weights.</t>
  </si>
  <si>
    <t xml:space="preserve">Delivered in Canvas as ADY201m_Retake_Recovery_Interactive_Dashboard.html.</t>
  </si>
  <si>
    <t xml:space="preserve">P14</t>
  </si>
  <si>
    <t xml:space="preserve">Milestone: LaTeX Springer Paper</t>
  </si>
  <si>
    <t xml:space="preserve">ACADEMIC-WRITING</t>
  </si>
  <si>
    <t xml:space="preserve">Draft the complete ADY201m Final Report in LaTeX following the 1-column Springer template.</t>
  </si>
  <si>
    <t xml:space="preserve">Raw LaTeX drafts often fail compilation due to unescaped %, _, or missing packages.</t>
  </si>
  <si>
    <t xml:space="preserve">SYNTAX &amp; GROUNDING AUDIT: Used booktabs/tabularx tables, amsmath equations, cited baseline papers (P01-P20), and compiled via lualatex.</t>
  </si>
  <si>
    <t xml:space="preserve">Verified zero compilation errors and 100% consistency between LaTeX tables, SQL outputs, and Excel sheets.</t>
  </si>
  <si>
    <t xml:space="preserve">Delivered as ADY201m_Retake_Behavior_Recovery_Final_Report.tex.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</si>
</sst>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"/>
    <numFmt numFmtId="167" formatCode="0.0000"/>
  </numFmts>
  <fonts count="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1E293B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3"/>
      <color rgb="FF1E3A8A"/>
      <name val="Calibri"/>
      <family val="0"/>
      <charset val="1"/>
    </font>
    <font>
      <sz val="9"/>
      <color rgb="FF475569"/>
      <name val="Calibri"/>
      <family val="0"/>
      <charset val="1"/>
    </font>
    <font>
      <b val="true"/>
      <sz val="11"/>
      <color rgb="FF1E293B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0F172A"/>
      <name val="Calibri"/>
      <family val="0"/>
      <charset val="1"/>
    </font>
    <font>
      <b val="true"/>
      <sz val="10"/>
      <color rgb="FF0F172A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E2E8F0"/>
        <bgColor rgb="FFF1F5F9"/>
      </patternFill>
    </fill>
    <fill>
      <patternFill patternType="solid">
        <fgColor rgb="FFF1F5F9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1E3A8A"/>
      </top>
      <bottom style="double">
        <color rgb="FF1E3A8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9F9F9"/>
      <rgbColor rgb="FFF1F5F9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F172A"/>
      <rgbColor rgb="FF333300"/>
      <rgbColor rgb="FF993300"/>
      <rgbColor rgb="FF993366"/>
      <rgbColor rgb="FF1E3A8A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Recovery Rate (%) by Retake Timing Window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Executive_Summary_RQs!D9</c:f>
              <c:strCache>
                <c:ptCount val="1"/>
                <c:pt idx="0">
                  <c:v>Pass Att 2 (%)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Executive_Summary_RQs!$A$10:$A$14</c:f>
              <c:strCache>
                <c:ptCount val="5"/>
                <c:pt idx="0">
                  <c:v>Same Semester (Gap=0, Block 2)</c:v>
                </c:pt>
                <c:pt idx="1">
                  <c:v>Next Semester (Gap=1 Term)</c:v>
                </c:pt>
                <c:pt idx="2">
                  <c:v>Two Semesters (Gap=2 Terms)</c:v>
                </c:pt>
                <c:pt idx="3">
                  <c:v>One Year (Gap=3-4 Terms)</c:v>
                </c:pt>
                <c:pt idx="4">
                  <c:v>Delayed (Gap&gt;=5 Terms)</c:v>
                </c:pt>
              </c:strCache>
            </c:strRef>
          </c:cat>
          <c:val>
            <c:numRef>
              <c:f>Executive_Summary_RQs!$D$10:$D$14</c:f>
              <c:numCache>
                <c:formatCode>General</c:formatCode>
                <c:ptCount val="5"/>
                <c:pt idx="0">
                  <c:v>76.61</c:v>
                </c:pt>
                <c:pt idx="1">
                  <c:v>57.82</c:v>
                </c:pt>
                <c:pt idx="2">
                  <c:v>49.91</c:v>
                </c:pt>
                <c:pt idx="3">
                  <c:v>50.26</c:v>
                </c:pt>
                <c:pt idx="4">
                  <c:v>56.39</c:v>
                </c:pt>
              </c:numCache>
            </c:numRef>
          </c:val>
        </c:ser>
        <c:ser>
          <c:idx val="1"/>
          <c:order val="1"/>
          <c:tx>
            <c:strRef>
              <c:f>Executive_Summary_RQs!E9</c:f>
              <c:strCache>
                <c:ptCount val="1"/>
                <c:pt idx="0">
                  <c:v>Ultimate Pass (%)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Executive_Summary_RQs!$A$10:$A$14</c:f>
              <c:strCache>
                <c:ptCount val="5"/>
                <c:pt idx="0">
                  <c:v>Same Semester (Gap=0, Block 2)</c:v>
                </c:pt>
                <c:pt idx="1">
                  <c:v>Next Semester (Gap=1 Term)</c:v>
                </c:pt>
                <c:pt idx="2">
                  <c:v>Two Semesters (Gap=2 Terms)</c:v>
                </c:pt>
                <c:pt idx="3">
                  <c:v>One Year (Gap=3-4 Terms)</c:v>
                </c:pt>
                <c:pt idx="4">
                  <c:v>Delayed (Gap&gt;=5 Terms)</c:v>
                </c:pt>
              </c:strCache>
            </c:strRef>
          </c:cat>
          <c:val>
            <c:numRef>
              <c:f>Executive_Summary_RQs!$E$10:$E$14</c:f>
              <c:numCache>
                <c:formatCode>General</c:formatCode>
                <c:ptCount val="5"/>
                <c:pt idx="0">
                  <c:v>87.57</c:v>
                </c:pt>
                <c:pt idx="1">
                  <c:v>78.46</c:v>
                </c:pt>
                <c:pt idx="2">
                  <c:v>72.43</c:v>
                </c:pt>
                <c:pt idx="3">
                  <c:v>72.09</c:v>
                </c:pt>
                <c:pt idx="4">
                  <c:v>72.03</c:v>
                </c:pt>
              </c:numCache>
            </c:numRef>
          </c:val>
        </c:ser>
        <c:gapWidth val="150"/>
        <c:overlap val="0"/>
        <c:axId val="74057177"/>
        <c:axId val="95771100"/>
      </c:barChart>
      <c:catAx>
        <c:axId val="740571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Retake Timing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771100"/>
        <c:crosses val="autoZero"/>
        <c:auto val="1"/>
        <c:lblAlgn val="ctr"/>
        <c:lblOffset val="100"/>
        <c:noMultiLvlLbl val="0"/>
      </c:catAx>
      <c:valAx>
        <c:axId val="957711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Recovery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0571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7</xdr:row>
      <xdr:rowOff>0</xdr:rowOff>
    </xdr:from>
    <xdr:to>
      <xdr:col>10</xdr:col>
      <xdr:colOff>221760</xdr:colOff>
      <xdr:row>21</xdr:row>
      <xdr:rowOff>32760</xdr:rowOff>
    </xdr:to>
    <xdr:graphicFrame>
      <xdr:nvGraphicFramePr>
        <xdr:cNvPr id="0" name="Chart 1"/>
        <xdr:cNvGraphicFramePr/>
      </xdr:nvGraphicFramePr>
      <xdr:xfrm>
        <a:off x="15083640" y="15526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42"/>
    <col collapsed="false" customWidth="true" hidden="false" outlineLevel="0" max="4" min="4" style="0" width="22"/>
    <col collapsed="false" customWidth="true" hidden="false" outlineLevel="0" max="5" min="5" style="0" width="42"/>
    <col collapsed="false" customWidth="true" hidden="false" outlineLevel="0" max="6" min="6" style="0" width="32"/>
    <col collapsed="false" customWidth="true" hidden="false" outlineLevel="0" max="7" min="7" style="0" width="33"/>
    <col collapsed="false" customWidth="true" hidden="false" outlineLevel="0" max="8" min="8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</row>
    <row r="5" customFormat="false" ht="15" hidden="false" customHeight="false" outlineLevel="0" collapsed="false">
      <c r="A5" s="4" t="s">
        <v>6</v>
      </c>
      <c r="B5" s="4"/>
      <c r="C5" s="4" t="s">
        <v>7</v>
      </c>
      <c r="D5" s="4"/>
      <c r="E5" s="4" t="s">
        <v>8</v>
      </c>
      <c r="F5" s="4"/>
      <c r="G5" s="4" t="s">
        <v>9</v>
      </c>
      <c r="H5" s="4"/>
    </row>
    <row r="6" customFormat="false" ht="15" hidden="false" customHeight="false" outlineLevel="0" collapsed="false">
      <c r="A6" s="5" t="s">
        <v>10</v>
      </c>
      <c r="B6" s="5"/>
      <c r="C6" s="5" t="s">
        <v>11</v>
      </c>
      <c r="D6" s="5"/>
      <c r="E6" s="5" t="s">
        <v>12</v>
      </c>
      <c r="F6" s="5"/>
      <c r="G6" s="5" t="s">
        <v>13</v>
      </c>
      <c r="H6" s="5"/>
    </row>
    <row r="8" customFormat="false" ht="15" hidden="false" customHeight="false" outlineLevel="0" collapsed="false">
      <c r="A8" s="6" t="s">
        <v>14</v>
      </c>
      <c r="B8" s="6"/>
      <c r="C8" s="6"/>
      <c r="D8" s="6"/>
      <c r="E8" s="6"/>
    </row>
    <row r="9" customFormat="false" ht="15" hidden="false" customHeight="false" outlineLevel="0" collapsed="false">
      <c r="A9" s="7" t="s">
        <v>15</v>
      </c>
      <c r="B9" s="8" t="s">
        <v>16</v>
      </c>
      <c r="C9" s="8" t="s">
        <v>17</v>
      </c>
      <c r="D9" s="8" t="s">
        <v>18</v>
      </c>
      <c r="E9" s="8" t="s">
        <v>19</v>
      </c>
    </row>
    <row r="10" customFormat="false" ht="15" hidden="false" customHeight="false" outlineLevel="0" collapsed="false">
      <c r="A10" s="9" t="s">
        <v>20</v>
      </c>
      <c r="B10" s="10" t="n">
        <v>3677</v>
      </c>
      <c r="C10" s="11" t="n">
        <v>2.94</v>
      </c>
      <c r="D10" s="11" t="n">
        <v>76.61</v>
      </c>
      <c r="E10" s="11" t="n">
        <v>87.57</v>
      </c>
    </row>
    <row r="11" customFormat="false" ht="15" hidden="false" customHeight="false" outlineLevel="0" collapsed="false">
      <c r="A11" s="12" t="s">
        <v>21</v>
      </c>
      <c r="B11" s="13" t="n">
        <v>7437</v>
      </c>
      <c r="C11" s="14" t="n">
        <v>1.9</v>
      </c>
      <c r="D11" s="14" t="n">
        <v>57.82</v>
      </c>
      <c r="E11" s="14" t="n">
        <v>78.46</v>
      </c>
    </row>
    <row r="12" customFormat="false" ht="15" hidden="false" customHeight="false" outlineLevel="0" collapsed="false">
      <c r="A12" s="9" t="s">
        <v>22</v>
      </c>
      <c r="B12" s="10" t="n">
        <v>1759</v>
      </c>
      <c r="C12" s="11" t="n">
        <v>1.83</v>
      </c>
      <c r="D12" s="11" t="n">
        <v>49.91</v>
      </c>
      <c r="E12" s="11" t="n">
        <v>72.43</v>
      </c>
    </row>
    <row r="13" customFormat="false" ht="15" hidden="false" customHeight="false" outlineLevel="0" collapsed="false">
      <c r="A13" s="12" t="s">
        <v>23</v>
      </c>
      <c r="B13" s="13" t="n">
        <v>1512</v>
      </c>
      <c r="C13" s="14" t="n">
        <v>1.37</v>
      </c>
      <c r="D13" s="14" t="n">
        <v>50.26</v>
      </c>
      <c r="E13" s="14" t="n">
        <v>72.09</v>
      </c>
    </row>
    <row r="14" customFormat="false" ht="15" hidden="false" customHeight="false" outlineLevel="0" collapsed="false">
      <c r="A14" s="9" t="s">
        <v>24</v>
      </c>
      <c r="B14" s="10" t="n">
        <v>665</v>
      </c>
      <c r="C14" s="11" t="n">
        <v>1.83</v>
      </c>
      <c r="D14" s="11" t="n">
        <v>56.39</v>
      </c>
      <c r="E14" s="11" t="n">
        <v>72.03</v>
      </c>
    </row>
    <row r="15" customFormat="false" ht="15" hidden="false" customHeight="false" outlineLevel="0" collapsed="false">
      <c r="A15" s="15" t="s">
        <v>25</v>
      </c>
      <c r="B15" s="16" t="n">
        <f aca="false">SUM(B10:B14)</f>
        <v>15050</v>
      </c>
      <c r="C15" s="17" t="n">
        <f aca="false">AVERAGE(C10:C14)</f>
        <v>1.974</v>
      </c>
      <c r="D15" s="17" t="n">
        <f aca="false">AVERAGE(D10:D14)</f>
        <v>58.198</v>
      </c>
      <c r="E15" s="17" t="n">
        <f aca="false">AVERAGE(E10:E14)</f>
        <v>76.516</v>
      </c>
    </row>
    <row r="26" customFormat="false" ht="15" hidden="false" customHeight="false" outlineLevel="0" collapsed="false">
      <c r="A26" s="6" t="s">
        <v>26</v>
      </c>
      <c r="B26" s="6"/>
      <c r="C26" s="6"/>
      <c r="D26" s="6"/>
      <c r="E26" s="6"/>
      <c r="F26" s="6"/>
      <c r="G26" s="6"/>
      <c r="H26" s="6"/>
    </row>
    <row r="27" customFormat="false" ht="15" hidden="false" customHeight="false" outlineLevel="0" collapsed="false">
      <c r="A27" s="7" t="s">
        <v>27</v>
      </c>
      <c r="B27" s="7" t="s">
        <v>28</v>
      </c>
      <c r="C27" s="7" t="s">
        <v>29</v>
      </c>
      <c r="D27" s="7" t="s">
        <v>30</v>
      </c>
      <c r="E27" s="7" t="s">
        <v>31</v>
      </c>
      <c r="F27" s="7" t="s">
        <v>32</v>
      </c>
      <c r="G27" s="7" t="s">
        <v>33</v>
      </c>
      <c r="H27" s="7" t="s">
        <v>34</v>
      </c>
    </row>
    <row r="28" customFormat="false" ht="36" hidden="false" customHeight="true" outlineLevel="0" collapsed="false">
      <c r="A28" s="18" t="s">
        <v>35</v>
      </c>
      <c r="B28" s="19" t="s">
        <v>36</v>
      </c>
      <c r="C28" s="19" t="s">
        <v>37</v>
      </c>
      <c r="D28" s="20" t="n">
        <v>13699</v>
      </c>
      <c r="E28" s="19" t="s">
        <v>38</v>
      </c>
      <c r="F28" s="19" t="s">
        <v>39</v>
      </c>
      <c r="G28" s="19" t="s">
        <v>40</v>
      </c>
      <c r="H28" s="19" t="s">
        <v>41</v>
      </c>
    </row>
    <row r="29" customFormat="false" ht="36" hidden="false" customHeight="true" outlineLevel="0" collapsed="false">
      <c r="A29" s="21" t="s">
        <v>42</v>
      </c>
      <c r="B29" s="22" t="s">
        <v>43</v>
      </c>
      <c r="C29" s="22" t="s">
        <v>44</v>
      </c>
      <c r="D29" s="23" t="n">
        <v>15050</v>
      </c>
      <c r="E29" s="22" t="s">
        <v>45</v>
      </c>
      <c r="F29" s="22" t="s">
        <v>46</v>
      </c>
      <c r="G29" s="22" t="s">
        <v>47</v>
      </c>
      <c r="H29" s="22" t="s">
        <v>41</v>
      </c>
    </row>
    <row r="30" customFormat="false" ht="36" hidden="false" customHeight="true" outlineLevel="0" collapsed="false">
      <c r="A30" s="18" t="s">
        <v>48</v>
      </c>
      <c r="B30" s="19" t="s">
        <v>49</v>
      </c>
      <c r="C30" s="19" t="s">
        <v>50</v>
      </c>
      <c r="D30" s="20" t="n">
        <v>15050</v>
      </c>
      <c r="E30" s="19" t="s">
        <v>51</v>
      </c>
      <c r="F30" s="19" t="s">
        <v>52</v>
      </c>
      <c r="G30" s="19" t="s">
        <v>53</v>
      </c>
      <c r="H30" s="19" t="s">
        <v>41</v>
      </c>
    </row>
    <row r="31" customFormat="false" ht="36" hidden="false" customHeight="true" outlineLevel="0" collapsed="false">
      <c r="A31" s="21" t="s">
        <v>54</v>
      </c>
      <c r="B31" s="22" t="s">
        <v>55</v>
      </c>
      <c r="C31" s="22" t="s">
        <v>56</v>
      </c>
      <c r="D31" s="23" t="n">
        <v>13836</v>
      </c>
      <c r="E31" s="22" t="s">
        <v>57</v>
      </c>
      <c r="F31" s="22" t="s">
        <v>58</v>
      </c>
      <c r="G31" s="22" t="s">
        <v>59</v>
      </c>
      <c r="H31" s="22" t="s">
        <v>60</v>
      </c>
    </row>
  </sheetData>
  <mergeCells count="16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6:B6"/>
    <mergeCell ref="C6:D6"/>
    <mergeCell ref="E6:F6"/>
    <mergeCell ref="G6:H6"/>
    <mergeCell ref="A8:E8"/>
    <mergeCell ref="A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19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19"/>
    <col collapsed="false" customWidth="true" hidden="false" outlineLevel="0" max="11" min="9" style="0" width="14"/>
    <col collapsed="false" customWidth="true" hidden="false" outlineLevel="0" max="12" min="12" style="0" width="18"/>
  </cols>
  <sheetData>
    <row r="1" customFormat="false" ht="25.5" hidden="false" customHeight="true" outlineLevel="0" collapsed="false">
      <c r="A1" s="24" t="s">
        <v>61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3" customFormat="false" ht="21.75" hidden="false" customHeight="true" outlineLevel="0" collapsed="false">
      <c r="A3" s="7" t="s">
        <v>62</v>
      </c>
      <c r="B3" s="7" t="s">
        <v>63</v>
      </c>
      <c r="C3" s="7" t="s">
        <v>64</v>
      </c>
      <c r="D3" s="8" t="s">
        <v>65</v>
      </c>
      <c r="E3" s="8" t="s">
        <v>66</v>
      </c>
      <c r="F3" s="8" t="s">
        <v>67</v>
      </c>
      <c r="G3" s="8" t="s">
        <v>68</v>
      </c>
      <c r="H3" s="8" t="s">
        <v>69</v>
      </c>
      <c r="I3" s="8" t="s">
        <v>70</v>
      </c>
      <c r="J3" s="8" t="s">
        <v>71</v>
      </c>
      <c r="K3" s="8" t="s">
        <v>72</v>
      </c>
      <c r="L3" s="8" t="s">
        <v>18</v>
      </c>
    </row>
    <row r="4" customFormat="false" ht="15" hidden="false" customHeight="false" outlineLevel="0" collapsed="false">
      <c r="A4" s="9" t="s">
        <v>73</v>
      </c>
      <c r="B4" s="9" t="s">
        <v>74</v>
      </c>
      <c r="C4" s="9" t="s">
        <v>75</v>
      </c>
      <c r="D4" s="10" t="n">
        <v>12789</v>
      </c>
      <c r="E4" s="10" t="n">
        <v>3697</v>
      </c>
      <c r="F4" s="11" t="n">
        <v>28.91</v>
      </c>
      <c r="G4" s="10" t="n">
        <v>2598</v>
      </c>
      <c r="H4" s="11" t="n">
        <v>70.27</v>
      </c>
      <c r="I4" s="11" t="n">
        <v>2.95</v>
      </c>
      <c r="J4" s="11" t="n">
        <v>5.07</v>
      </c>
      <c r="K4" s="11" t="n">
        <v>2.12</v>
      </c>
      <c r="L4" s="11" t="n">
        <v>61.7</v>
      </c>
    </row>
    <row r="5" customFormat="false" ht="15" hidden="false" customHeight="false" outlineLevel="0" collapsed="false">
      <c r="A5" s="12" t="s">
        <v>76</v>
      </c>
      <c r="B5" s="12" t="s">
        <v>77</v>
      </c>
      <c r="C5" s="12" t="s">
        <v>78</v>
      </c>
      <c r="D5" s="13" t="n">
        <v>11076</v>
      </c>
      <c r="E5" s="13" t="n">
        <v>2925</v>
      </c>
      <c r="F5" s="14" t="n">
        <v>26.41</v>
      </c>
      <c r="G5" s="13" t="n">
        <v>2355</v>
      </c>
      <c r="H5" s="14" t="n">
        <v>80.51</v>
      </c>
      <c r="I5" s="14" t="n">
        <v>2.8</v>
      </c>
      <c r="J5" s="14" t="n">
        <v>5.01</v>
      </c>
      <c r="K5" s="14" t="n">
        <v>2.21</v>
      </c>
      <c r="L5" s="14" t="n">
        <v>63.95</v>
      </c>
    </row>
    <row r="6" customFormat="false" ht="15" hidden="false" customHeight="false" outlineLevel="0" collapsed="false">
      <c r="A6" s="9" t="s">
        <v>79</v>
      </c>
      <c r="B6" s="9" t="s">
        <v>80</v>
      </c>
      <c r="C6" s="9" t="s">
        <v>81</v>
      </c>
      <c r="D6" s="10" t="n">
        <v>9405</v>
      </c>
      <c r="E6" s="10" t="n">
        <v>2369</v>
      </c>
      <c r="F6" s="11" t="n">
        <v>25.19</v>
      </c>
      <c r="G6" s="10" t="n">
        <v>1711</v>
      </c>
      <c r="H6" s="11" t="n">
        <v>72.22</v>
      </c>
      <c r="I6" s="11" t="n">
        <v>2.87</v>
      </c>
      <c r="J6" s="11" t="n">
        <v>5.38</v>
      </c>
      <c r="K6" s="11" t="n">
        <v>2.51</v>
      </c>
      <c r="L6" s="11" t="n">
        <v>65.11</v>
      </c>
    </row>
    <row r="7" customFormat="false" ht="15" hidden="false" customHeight="false" outlineLevel="0" collapsed="false">
      <c r="A7" s="12" t="s">
        <v>82</v>
      </c>
      <c r="B7" s="12" t="s">
        <v>83</v>
      </c>
      <c r="C7" s="12" t="s">
        <v>84</v>
      </c>
      <c r="D7" s="13" t="n">
        <v>11422</v>
      </c>
      <c r="E7" s="13" t="n">
        <v>2349</v>
      </c>
      <c r="F7" s="14" t="n">
        <v>20.57</v>
      </c>
      <c r="G7" s="13" t="n">
        <v>1616</v>
      </c>
      <c r="H7" s="14" t="n">
        <v>68.8</v>
      </c>
      <c r="I7" s="14" t="n">
        <v>2.47</v>
      </c>
      <c r="J7" s="14" t="n">
        <v>4.56</v>
      </c>
      <c r="K7" s="14" t="n">
        <v>2.09</v>
      </c>
      <c r="L7" s="14" t="n">
        <v>60.83</v>
      </c>
    </row>
    <row r="8" customFormat="false" ht="15" hidden="false" customHeight="false" outlineLevel="0" collapsed="false">
      <c r="A8" s="9" t="s">
        <v>85</v>
      </c>
      <c r="B8" s="9" t="s">
        <v>86</v>
      </c>
      <c r="C8" s="9" t="s">
        <v>87</v>
      </c>
      <c r="D8" s="10" t="n">
        <v>3867</v>
      </c>
      <c r="E8" s="10" t="n">
        <v>1885</v>
      </c>
      <c r="F8" s="11" t="n">
        <v>48.75</v>
      </c>
      <c r="G8" s="10" t="n">
        <v>1380</v>
      </c>
      <c r="H8" s="11" t="n">
        <v>73.21</v>
      </c>
      <c r="I8" s="11" t="n">
        <v>2.48</v>
      </c>
      <c r="J8" s="11" t="n">
        <v>4.64</v>
      </c>
      <c r="K8" s="11" t="n">
        <v>2.16</v>
      </c>
      <c r="L8" s="11" t="n">
        <v>56.52</v>
      </c>
    </row>
    <row r="9" customFormat="false" ht="15" hidden="false" customHeight="false" outlineLevel="0" collapsed="false">
      <c r="A9" s="12" t="s">
        <v>88</v>
      </c>
      <c r="B9" s="12" t="s">
        <v>89</v>
      </c>
      <c r="C9" s="12" t="s">
        <v>90</v>
      </c>
      <c r="D9" s="13" t="n">
        <v>9543</v>
      </c>
      <c r="E9" s="13" t="n">
        <v>2141</v>
      </c>
      <c r="F9" s="14" t="n">
        <v>22.44</v>
      </c>
      <c r="G9" s="13" t="n">
        <v>1359</v>
      </c>
      <c r="H9" s="14" t="n">
        <v>63.48</v>
      </c>
      <c r="I9" s="14" t="n">
        <v>0</v>
      </c>
      <c r="J9" s="14" t="n">
        <v>0</v>
      </c>
      <c r="K9" s="14" t="n">
        <v>0</v>
      </c>
      <c r="L9" s="14" t="n">
        <v>61.52</v>
      </c>
    </row>
    <row r="10" customFormat="false" ht="15" hidden="false" customHeight="false" outlineLevel="0" collapsed="false">
      <c r="A10" s="9" t="s">
        <v>91</v>
      </c>
      <c r="B10" s="9" t="s">
        <v>92</v>
      </c>
      <c r="C10" s="9" t="s">
        <v>93</v>
      </c>
      <c r="D10" s="10" t="n">
        <v>11661</v>
      </c>
      <c r="E10" s="10" t="n">
        <v>1602</v>
      </c>
      <c r="F10" s="11" t="n">
        <v>13.74</v>
      </c>
      <c r="G10" s="10" t="n">
        <v>975</v>
      </c>
      <c r="H10" s="11" t="n">
        <v>60.86</v>
      </c>
      <c r="I10" s="11" t="n">
        <v>3.76</v>
      </c>
      <c r="J10" s="11" t="n">
        <v>4.91</v>
      </c>
      <c r="K10" s="11" t="n">
        <v>1.14</v>
      </c>
      <c r="L10" s="11" t="n">
        <v>55.79</v>
      </c>
    </row>
    <row r="11" customFormat="false" ht="15" hidden="false" customHeight="false" outlineLevel="0" collapsed="false">
      <c r="A11" s="12" t="s">
        <v>94</v>
      </c>
      <c r="B11" s="12" t="s">
        <v>95</v>
      </c>
      <c r="C11" s="12" t="s">
        <v>96</v>
      </c>
      <c r="D11" s="13" t="n">
        <v>3842</v>
      </c>
      <c r="E11" s="13" t="n">
        <v>1360</v>
      </c>
      <c r="F11" s="14" t="n">
        <v>35.4</v>
      </c>
      <c r="G11" s="13" t="n">
        <v>911</v>
      </c>
      <c r="H11" s="14" t="n">
        <v>66.99</v>
      </c>
      <c r="I11" s="14" t="n">
        <v>2.72</v>
      </c>
      <c r="J11" s="14" t="n">
        <v>4.8</v>
      </c>
      <c r="K11" s="14" t="n">
        <v>2.08</v>
      </c>
      <c r="L11" s="14" t="n">
        <v>56.97</v>
      </c>
    </row>
    <row r="12" customFormat="false" ht="15" hidden="false" customHeight="false" outlineLevel="0" collapsed="false">
      <c r="A12" s="9" t="s">
        <v>97</v>
      </c>
      <c r="B12" s="9" t="s">
        <v>98</v>
      </c>
      <c r="C12" s="9" t="s">
        <v>99</v>
      </c>
      <c r="D12" s="10" t="n">
        <v>14044</v>
      </c>
      <c r="E12" s="10" t="n">
        <v>1886</v>
      </c>
      <c r="F12" s="11" t="n">
        <v>13.43</v>
      </c>
      <c r="G12" s="10" t="n">
        <v>843</v>
      </c>
      <c r="H12" s="11" t="n">
        <v>44.7</v>
      </c>
      <c r="I12" s="11" t="n">
        <v>3.48</v>
      </c>
      <c r="J12" s="11" t="n">
        <v>5.07</v>
      </c>
      <c r="K12" s="11" t="n">
        <v>1.59</v>
      </c>
      <c r="L12" s="11" t="n">
        <v>61.8</v>
      </c>
    </row>
    <row r="13" customFormat="false" ht="15" hidden="false" customHeight="false" outlineLevel="0" collapsed="false">
      <c r="A13" s="12" t="s">
        <v>100</v>
      </c>
      <c r="B13" s="12" t="s">
        <v>101</v>
      </c>
      <c r="C13" s="12" t="s">
        <v>102</v>
      </c>
      <c r="D13" s="13" t="n">
        <v>1596</v>
      </c>
      <c r="E13" s="13" t="n">
        <v>861</v>
      </c>
      <c r="F13" s="14" t="n">
        <v>53.95</v>
      </c>
      <c r="G13" s="13" t="n">
        <v>562</v>
      </c>
      <c r="H13" s="14" t="n">
        <v>65.27</v>
      </c>
      <c r="I13" s="14" t="n">
        <v>1.26</v>
      </c>
      <c r="J13" s="14" t="n">
        <v>3.48</v>
      </c>
      <c r="K13" s="14" t="n">
        <v>2.22</v>
      </c>
      <c r="L13" s="14" t="n">
        <v>47.86</v>
      </c>
    </row>
    <row r="14" customFormat="false" ht="15" hidden="false" customHeight="false" outlineLevel="0" collapsed="false">
      <c r="A14" s="9" t="s">
        <v>103</v>
      </c>
      <c r="B14" s="9" t="s">
        <v>104</v>
      </c>
      <c r="C14" s="9" t="s">
        <v>105</v>
      </c>
      <c r="D14" s="10" t="n">
        <v>8592</v>
      </c>
      <c r="E14" s="10" t="n">
        <v>797</v>
      </c>
      <c r="F14" s="11" t="n">
        <v>9.28</v>
      </c>
      <c r="G14" s="10" t="n">
        <v>317</v>
      </c>
      <c r="H14" s="11" t="n">
        <v>39.77</v>
      </c>
      <c r="I14" s="11" t="n">
        <v>2.21</v>
      </c>
      <c r="J14" s="11" t="n">
        <v>5.49</v>
      </c>
      <c r="K14" s="11" t="n">
        <v>3.29</v>
      </c>
      <c r="L14" s="11" t="n">
        <v>68.45</v>
      </c>
    </row>
    <row r="15" customFormat="false" ht="15" hidden="false" customHeight="false" outlineLevel="0" collapsed="false">
      <c r="A15" s="12" t="s">
        <v>106</v>
      </c>
      <c r="B15" s="12" t="s">
        <v>107</v>
      </c>
      <c r="C15" s="12" t="s">
        <v>108</v>
      </c>
      <c r="D15" s="13" t="n">
        <v>984</v>
      </c>
      <c r="E15" s="13" t="n">
        <v>397</v>
      </c>
      <c r="F15" s="14" t="n">
        <v>40.35</v>
      </c>
      <c r="G15" s="13" t="n">
        <v>271</v>
      </c>
      <c r="H15" s="14" t="n">
        <v>68.26</v>
      </c>
      <c r="I15" s="14" t="n">
        <v>3.67</v>
      </c>
      <c r="J15" s="14" t="n">
        <v>5.6</v>
      </c>
      <c r="K15" s="14" t="n">
        <v>1.93</v>
      </c>
      <c r="L15" s="14" t="n">
        <v>53.14</v>
      </c>
    </row>
    <row r="16" customFormat="false" ht="15" hidden="false" customHeight="false" outlineLevel="0" collapsed="false">
      <c r="A16" s="9" t="s">
        <v>109</v>
      </c>
      <c r="B16" s="9" t="s">
        <v>110</v>
      </c>
      <c r="C16" s="9" t="s">
        <v>111</v>
      </c>
      <c r="D16" s="10" t="n">
        <v>1304</v>
      </c>
      <c r="E16" s="10" t="n">
        <v>248</v>
      </c>
      <c r="F16" s="11" t="n">
        <v>19.02</v>
      </c>
      <c r="G16" s="10" t="n">
        <v>101</v>
      </c>
      <c r="H16" s="11" t="n">
        <v>40.73</v>
      </c>
      <c r="I16" s="11" t="n">
        <v>2.67</v>
      </c>
      <c r="J16" s="11" t="n">
        <v>4.92</v>
      </c>
      <c r="K16" s="11" t="n">
        <v>2.25</v>
      </c>
      <c r="L16" s="11" t="n">
        <v>55.45</v>
      </c>
    </row>
    <row r="17" customFormat="false" ht="15" hidden="false" customHeight="false" outlineLevel="0" collapsed="false">
      <c r="A17" s="12" t="s">
        <v>112</v>
      </c>
      <c r="B17" s="12" t="s">
        <v>113</v>
      </c>
      <c r="C17" s="12" t="s">
        <v>114</v>
      </c>
      <c r="D17" s="13" t="n">
        <v>780</v>
      </c>
      <c r="E17" s="13" t="n">
        <v>42</v>
      </c>
      <c r="F17" s="14" t="n">
        <v>5.38</v>
      </c>
      <c r="G17" s="13" t="n">
        <v>21</v>
      </c>
      <c r="H17" s="14" t="n">
        <v>50</v>
      </c>
      <c r="I17" s="14" t="n">
        <v>3.37</v>
      </c>
      <c r="J17" s="14" t="n">
        <v>5.34</v>
      </c>
      <c r="K17" s="14" t="n">
        <v>1.97</v>
      </c>
      <c r="L17" s="14" t="n">
        <v>71.43</v>
      </c>
    </row>
    <row r="18" customFormat="false" ht="15" hidden="false" customHeight="false" outlineLevel="0" collapsed="false">
      <c r="A18" s="9" t="s">
        <v>115</v>
      </c>
      <c r="B18" s="9" t="s">
        <v>116</v>
      </c>
      <c r="C18" s="9" t="s">
        <v>117</v>
      </c>
      <c r="D18" s="10" t="n">
        <v>694</v>
      </c>
      <c r="E18" s="10" t="n">
        <v>32</v>
      </c>
      <c r="F18" s="11" t="n">
        <v>4.61</v>
      </c>
      <c r="G18" s="10" t="n">
        <v>16</v>
      </c>
      <c r="H18" s="11" t="n">
        <v>50</v>
      </c>
      <c r="I18" s="11" t="n">
        <v>2.28</v>
      </c>
      <c r="J18" s="11" t="n">
        <v>6.76</v>
      </c>
      <c r="K18" s="11" t="n">
        <v>4.49</v>
      </c>
      <c r="L18" s="11" t="n">
        <v>81.25</v>
      </c>
    </row>
    <row r="19" customFormat="false" ht="15" hidden="false" customHeight="false" outlineLevel="0" collapsed="false">
      <c r="A19" s="12" t="s">
        <v>118</v>
      </c>
      <c r="B19" s="12" t="s">
        <v>119</v>
      </c>
      <c r="C19" s="12" t="s">
        <v>120</v>
      </c>
      <c r="D19" s="13" t="n">
        <v>187</v>
      </c>
      <c r="E19" s="13" t="n">
        <v>63</v>
      </c>
      <c r="F19" s="14" t="n">
        <v>33.69</v>
      </c>
      <c r="G19" s="13" t="n">
        <v>14</v>
      </c>
      <c r="H19" s="14" t="n">
        <v>22.22</v>
      </c>
      <c r="I19" s="14" t="n">
        <v>3.59</v>
      </c>
      <c r="J19" s="14" t="n">
        <v>6.01</v>
      </c>
      <c r="K19" s="14" t="n">
        <v>2.41</v>
      </c>
      <c r="L19" s="14" t="n">
        <v>71.43</v>
      </c>
    </row>
    <row r="20" customFormat="false" ht="15" hidden="false" customHeight="false" outlineLevel="0" collapsed="false">
      <c r="A20" s="9" t="s">
        <v>121</v>
      </c>
      <c r="B20" s="9" t="s">
        <v>122</v>
      </c>
      <c r="C20" s="9" t="s">
        <v>123</v>
      </c>
      <c r="D20" s="10" t="n">
        <v>169</v>
      </c>
      <c r="E20" s="10" t="n">
        <v>57</v>
      </c>
      <c r="F20" s="11" t="n">
        <v>33.73</v>
      </c>
      <c r="G20" s="10" t="n">
        <v>0</v>
      </c>
      <c r="H20" s="11" t="n">
        <v>0</v>
      </c>
      <c r="I20" s="11"/>
      <c r="J20" s="11"/>
      <c r="K20" s="11"/>
      <c r="L20" s="11"/>
    </row>
    <row r="21" customFormat="false" ht="15" hidden="false" customHeight="false" outlineLevel="0" collapsed="false">
      <c r="A21" s="12" t="s">
        <v>124</v>
      </c>
      <c r="B21" s="12" t="s">
        <v>125</v>
      </c>
      <c r="C21" s="12" t="s">
        <v>126</v>
      </c>
      <c r="D21" s="13" t="n">
        <v>10</v>
      </c>
      <c r="E21" s="13" t="n">
        <v>2</v>
      </c>
      <c r="F21" s="14" t="n">
        <v>20</v>
      </c>
      <c r="G21" s="13" t="n">
        <v>0</v>
      </c>
      <c r="H21" s="14" t="n">
        <v>0</v>
      </c>
      <c r="I21" s="14"/>
      <c r="J21" s="14"/>
      <c r="K21" s="14"/>
      <c r="L21" s="14"/>
    </row>
    <row r="22" customFormat="false" ht="15" hidden="false" customHeight="false" outlineLevel="0" collapsed="false">
      <c r="A22" s="15" t="s">
        <v>127</v>
      </c>
      <c r="B22" s="15" t="s">
        <v>128</v>
      </c>
      <c r="C22" s="15" t="s">
        <v>129</v>
      </c>
      <c r="D22" s="16" t="n">
        <f aca="false">SUM(D4:D21)</f>
        <v>101965</v>
      </c>
      <c r="E22" s="16" t="n">
        <f aca="false">SUM(E4:E21)</f>
        <v>22713</v>
      </c>
      <c r="F22" s="17" t="n">
        <f aca="false">AVERAGE(F4:F21)</f>
        <v>25.2694444444444</v>
      </c>
      <c r="G22" s="16" t="n">
        <f aca="false">SUM(G4:G21)</f>
        <v>15050</v>
      </c>
      <c r="H22" s="17" t="n">
        <f aca="false">AVERAGE(H4:H21)</f>
        <v>52.0716666666667</v>
      </c>
      <c r="I22" s="17" t="n">
        <f aca="false">AVERAGE(I4:I21)</f>
        <v>2.66125</v>
      </c>
      <c r="J22" s="17" t="n">
        <f aca="false">AVERAGE(J4:J21)</f>
        <v>4.815</v>
      </c>
      <c r="K22" s="17" t="n">
        <f aca="false">AVERAGE(K4:K21)</f>
        <v>2.15375</v>
      </c>
      <c r="L22" s="17" t="n">
        <f aca="false">AVERAGE(L4:L21)</f>
        <v>62.075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2"/>
    <col collapsed="false" customWidth="true" hidden="false" outlineLevel="0" max="3" min="3" style="0" width="26"/>
    <col collapsed="false" customWidth="true" hidden="false" outlineLevel="0" max="4" min="4" style="0" width="23"/>
    <col collapsed="false" customWidth="true" hidden="false" outlineLevel="0" max="5" min="5" style="0" width="34"/>
    <col collapsed="false" customWidth="true" hidden="false" outlineLevel="0" max="6" min="6" style="0" width="32"/>
    <col collapsed="false" customWidth="true" hidden="false" outlineLevel="0" max="7" min="7" style="0" width="42"/>
  </cols>
  <sheetData>
    <row r="1" customFormat="false" ht="25.5" hidden="false" customHeight="true" outlineLevel="0" collapsed="false">
      <c r="A1" s="24" t="s">
        <v>130</v>
      </c>
      <c r="B1" s="24"/>
      <c r="C1" s="24"/>
      <c r="D1" s="24"/>
      <c r="E1" s="24"/>
      <c r="F1" s="24"/>
      <c r="G1" s="24"/>
    </row>
    <row r="3" customFormat="false" ht="15" hidden="false" customHeight="false" outlineLevel="0" collapsed="false">
      <c r="A3" s="6" t="s">
        <v>131</v>
      </c>
      <c r="B3" s="6"/>
      <c r="C3" s="6"/>
      <c r="D3" s="6"/>
      <c r="E3" s="6"/>
      <c r="F3" s="6"/>
      <c r="G3" s="6"/>
    </row>
    <row r="4" customFormat="false" ht="15" hidden="false" customHeight="false" outlineLevel="0" collapsed="false">
      <c r="A4" s="7" t="s">
        <v>132</v>
      </c>
      <c r="B4" s="7" t="s">
        <v>133</v>
      </c>
      <c r="C4" s="7" t="s">
        <v>134</v>
      </c>
      <c r="D4" s="8" t="s">
        <v>135</v>
      </c>
      <c r="E4" s="8" t="s">
        <v>136</v>
      </c>
      <c r="F4" s="8" t="s">
        <v>137</v>
      </c>
      <c r="G4" s="7" t="s">
        <v>138</v>
      </c>
    </row>
    <row r="5" customFormat="false" ht="15" hidden="false" customHeight="false" outlineLevel="0" collapsed="false">
      <c r="A5" s="25" t="s">
        <v>139</v>
      </c>
      <c r="B5" s="12" t="s">
        <v>140</v>
      </c>
      <c r="C5" s="12" t="s">
        <v>141</v>
      </c>
      <c r="D5" s="26" t="n">
        <v>2.6961</v>
      </c>
      <c r="E5" s="26" t="n">
        <v>2.1734</v>
      </c>
      <c r="F5" s="26" t="n">
        <v>-0.0003</v>
      </c>
      <c r="G5" s="12" t="s">
        <v>142</v>
      </c>
    </row>
    <row r="6" customFormat="false" ht="15" hidden="false" customHeight="false" outlineLevel="0" collapsed="false">
      <c r="A6" s="27" t="s">
        <v>143</v>
      </c>
      <c r="B6" s="9" t="s">
        <v>144</v>
      </c>
      <c r="C6" s="9" t="s">
        <v>141</v>
      </c>
      <c r="D6" s="28" t="n">
        <v>2.4585</v>
      </c>
      <c r="E6" s="28" t="n">
        <v>2.0158</v>
      </c>
      <c r="F6" s="28" t="n">
        <v>0.1683</v>
      </c>
      <c r="G6" s="9" t="s">
        <v>145</v>
      </c>
    </row>
    <row r="7" customFormat="false" ht="15" hidden="false" customHeight="false" outlineLevel="0" collapsed="false">
      <c r="A7" s="25" t="s">
        <v>146</v>
      </c>
      <c r="B7" s="12" t="s">
        <v>147</v>
      </c>
      <c r="C7" s="12" t="s">
        <v>141</v>
      </c>
      <c r="D7" s="26" t="n">
        <v>2.3138</v>
      </c>
      <c r="E7" s="26" t="n">
        <v>1.8616</v>
      </c>
      <c r="F7" s="26" t="n">
        <v>0.2633</v>
      </c>
      <c r="G7" s="12" t="s">
        <v>148</v>
      </c>
    </row>
    <row r="8" customFormat="false" ht="15" hidden="false" customHeight="false" outlineLevel="0" collapsed="false">
      <c r="A8" s="27" t="s">
        <v>149</v>
      </c>
      <c r="B8" s="9" t="s">
        <v>150</v>
      </c>
      <c r="C8" s="9" t="s">
        <v>141</v>
      </c>
      <c r="D8" s="28" t="n">
        <v>2.2792</v>
      </c>
      <c r="E8" s="28" t="n">
        <v>1.8244</v>
      </c>
      <c r="F8" s="28" t="n">
        <v>0.2852</v>
      </c>
      <c r="G8" s="9" t="s">
        <v>151</v>
      </c>
    </row>
    <row r="9" customFormat="false" ht="15" hidden="false" customHeight="false" outlineLevel="0" collapsed="false">
      <c r="A9" s="25" t="s">
        <v>152</v>
      </c>
      <c r="B9" s="12" t="s">
        <v>153</v>
      </c>
      <c r="C9" s="12" t="s">
        <v>141</v>
      </c>
      <c r="D9" s="26" t="n">
        <v>2.2811</v>
      </c>
      <c r="E9" s="26" t="n">
        <v>1.8288</v>
      </c>
      <c r="F9" s="26" t="n">
        <v>0.284</v>
      </c>
      <c r="G9" s="12" t="s">
        <v>154</v>
      </c>
    </row>
    <row r="12" customFormat="false" ht="15" hidden="false" customHeight="false" outlineLevel="0" collapsed="false">
      <c r="A12" s="6" t="s">
        <v>155</v>
      </c>
      <c r="B12" s="6"/>
      <c r="C12" s="6"/>
      <c r="D12" s="6"/>
      <c r="E12" s="6"/>
      <c r="F12" s="6"/>
      <c r="G12" s="6"/>
    </row>
    <row r="13" customFormat="false" ht="15" hidden="false" customHeight="false" outlineLevel="0" collapsed="false">
      <c r="A13" s="7" t="s">
        <v>132</v>
      </c>
      <c r="B13" s="7" t="s">
        <v>133</v>
      </c>
      <c r="C13" s="8" t="s">
        <v>156</v>
      </c>
      <c r="D13" s="8" t="s">
        <v>157</v>
      </c>
      <c r="E13" s="8" t="s">
        <v>158</v>
      </c>
      <c r="F13" s="8" t="s">
        <v>159</v>
      </c>
      <c r="G13" s="8" t="s">
        <v>160</v>
      </c>
    </row>
    <row r="14" customFormat="false" ht="15" hidden="false" customHeight="false" outlineLevel="0" collapsed="false">
      <c r="A14" s="27" t="s">
        <v>161</v>
      </c>
      <c r="B14" s="9" t="s">
        <v>162</v>
      </c>
      <c r="C14" s="28" t="n">
        <v>0.6657</v>
      </c>
      <c r="D14" s="28" t="n">
        <v>0.7153</v>
      </c>
      <c r="E14" s="28" t="n">
        <v>0.7561</v>
      </c>
      <c r="F14" s="28" t="n">
        <v>0.7351</v>
      </c>
      <c r="G14" s="9" t="s">
        <v>163</v>
      </c>
    </row>
    <row r="15" customFormat="false" ht="15" hidden="false" customHeight="false" outlineLevel="0" collapsed="false">
      <c r="A15" s="25" t="s">
        <v>164</v>
      </c>
      <c r="B15" s="12" t="s">
        <v>165</v>
      </c>
      <c r="C15" s="26" t="n">
        <v>0.6701</v>
      </c>
      <c r="D15" s="26" t="n">
        <v>0.6907</v>
      </c>
      <c r="E15" s="26" t="n">
        <v>0.837</v>
      </c>
      <c r="F15" s="26" t="n">
        <v>0.7569</v>
      </c>
      <c r="G15" s="12" t="s">
        <v>166</v>
      </c>
    </row>
    <row r="16" customFormat="false" ht="15" hidden="false" customHeight="false" outlineLevel="0" collapsed="false">
      <c r="A16" s="27" t="s">
        <v>167</v>
      </c>
      <c r="B16" s="9" t="s">
        <v>168</v>
      </c>
      <c r="C16" s="28" t="n">
        <v>0.685</v>
      </c>
      <c r="D16" s="28" t="n">
        <v>0.7066</v>
      </c>
      <c r="E16" s="28" t="n">
        <v>0.8322</v>
      </c>
      <c r="F16" s="28" t="n">
        <v>0.7643</v>
      </c>
      <c r="G16" s="9" t="s">
        <v>169</v>
      </c>
    </row>
    <row r="17" customFormat="false" ht="15" hidden="false" customHeight="false" outlineLevel="0" collapsed="false">
      <c r="A17" s="25" t="s">
        <v>170</v>
      </c>
      <c r="B17" s="12" t="s">
        <v>171</v>
      </c>
      <c r="C17" s="26" t="n">
        <v>0.6744</v>
      </c>
      <c r="D17" s="26" t="n">
        <v>0.6866</v>
      </c>
      <c r="E17" s="26" t="n">
        <v>0.7583</v>
      </c>
      <c r="F17" s="26" t="n">
        <v>0.7207</v>
      </c>
      <c r="G17" s="12" t="s">
        <v>172</v>
      </c>
    </row>
    <row r="20" customFormat="false" ht="15" hidden="false" customHeight="false" outlineLevel="0" collapsed="false">
      <c r="A20" s="6" t="s">
        <v>173</v>
      </c>
      <c r="B20" s="6"/>
      <c r="C20" s="6"/>
      <c r="D20" s="6"/>
      <c r="E20" s="6"/>
      <c r="F20" s="6"/>
      <c r="G20" s="6"/>
    </row>
    <row r="21" customFormat="false" ht="15" hidden="false" customHeight="false" outlineLevel="0" collapsed="false">
      <c r="A21" s="8" t="s">
        <v>174</v>
      </c>
      <c r="B21" s="8" t="s">
        <v>175</v>
      </c>
      <c r="C21" s="8" t="s">
        <v>176</v>
      </c>
      <c r="D21" s="8" t="s">
        <v>177</v>
      </c>
      <c r="E21" s="8" t="s">
        <v>178</v>
      </c>
      <c r="F21" s="8" t="s">
        <v>179</v>
      </c>
      <c r="G21" s="8" t="s">
        <v>180</v>
      </c>
    </row>
    <row r="22" customFormat="false" ht="15" hidden="false" customHeight="false" outlineLevel="0" collapsed="false">
      <c r="A22" s="10" t="n">
        <v>1</v>
      </c>
      <c r="B22" s="10" t="n">
        <v>2</v>
      </c>
      <c r="C22" s="10" t="n">
        <v>15050</v>
      </c>
      <c r="D22" s="10" t="n">
        <v>9130</v>
      </c>
      <c r="E22" s="11" t="n">
        <v>60.66</v>
      </c>
      <c r="F22" s="11" t="n">
        <v>39.34</v>
      </c>
      <c r="G22" s="11" t="n">
        <v>60.66</v>
      </c>
    </row>
    <row r="23" customFormat="false" ht="15" hidden="false" customHeight="false" outlineLevel="0" collapsed="false">
      <c r="A23" s="13" t="n">
        <v>2</v>
      </c>
      <c r="B23" s="13" t="n">
        <v>3</v>
      </c>
      <c r="C23" s="13" t="n">
        <v>3930</v>
      </c>
      <c r="D23" s="13" t="n">
        <v>1910</v>
      </c>
      <c r="E23" s="14" t="n">
        <v>48.6</v>
      </c>
      <c r="F23" s="14" t="n">
        <v>20.22</v>
      </c>
      <c r="G23" s="14" t="n">
        <v>79.78</v>
      </c>
    </row>
    <row r="24" customFormat="false" ht="15" hidden="false" customHeight="false" outlineLevel="0" collapsed="false">
      <c r="A24" s="10" t="n">
        <v>3</v>
      </c>
      <c r="B24" s="10" t="n">
        <v>4</v>
      </c>
      <c r="C24" s="10" t="n">
        <v>1381</v>
      </c>
      <c r="D24" s="10" t="n">
        <v>525</v>
      </c>
      <c r="E24" s="11" t="n">
        <v>38.02</v>
      </c>
      <c r="F24" s="11" t="n">
        <v>12.53</v>
      </c>
      <c r="G24" s="11" t="n">
        <v>87.47</v>
      </c>
    </row>
    <row r="25" customFormat="false" ht="15" hidden="false" customHeight="false" outlineLevel="0" collapsed="false">
      <c r="A25" s="13" t="n">
        <v>4</v>
      </c>
      <c r="B25" s="13" t="n">
        <v>5</v>
      </c>
      <c r="C25" s="13" t="n">
        <v>619</v>
      </c>
      <c r="D25" s="13" t="n">
        <v>187</v>
      </c>
      <c r="E25" s="14" t="n">
        <v>30.21</v>
      </c>
      <c r="F25" s="14" t="n">
        <v>8.75</v>
      </c>
      <c r="G25" s="14" t="n">
        <v>91.25</v>
      </c>
    </row>
    <row r="26" customFormat="false" ht="15" hidden="false" customHeight="false" outlineLevel="0" collapsed="false">
      <c r="A26" s="10" t="n">
        <v>5</v>
      </c>
      <c r="B26" s="10" t="n">
        <v>6</v>
      </c>
      <c r="C26" s="10" t="n">
        <v>308</v>
      </c>
      <c r="D26" s="10" t="n">
        <v>94</v>
      </c>
      <c r="E26" s="11" t="n">
        <v>30.52</v>
      </c>
      <c r="F26" s="11" t="n">
        <v>6.08</v>
      </c>
      <c r="G26" s="11" t="n">
        <v>93.92</v>
      </c>
    </row>
    <row r="27" customFormat="false" ht="15" hidden="false" customHeight="false" outlineLevel="0" collapsed="false">
      <c r="A27" s="13" t="n">
        <v>6</v>
      </c>
      <c r="B27" s="13" t="n">
        <v>7</v>
      </c>
      <c r="C27" s="13" t="n">
        <v>137</v>
      </c>
      <c r="D27" s="13" t="n">
        <v>30</v>
      </c>
      <c r="E27" s="14" t="n">
        <v>21.9</v>
      </c>
      <c r="F27" s="14" t="n">
        <v>4.75</v>
      </c>
      <c r="G27" s="14" t="n">
        <v>95.25</v>
      </c>
    </row>
  </sheetData>
  <mergeCells count="4">
    <mergeCell ref="A1:G1"/>
    <mergeCell ref="A3:G3"/>
    <mergeCell ref="A12:G12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8"/>
    <col collapsed="false" customWidth="true" hidden="false" outlineLevel="0" max="3" min="3" style="0" width="25"/>
    <col collapsed="false" customWidth="true" hidden="false" outlineLevel="0" max="8" min="4" style="0" width="42"/>
  </cols>
  <sheetData>
    <row r="1" customFormat="false" ht="25.5" hidden="false" customHeight="true" outlineLevel="0" collapsed="false">
      <c r="A1" s="24" t="s">
        <v>181</v>
      </c>
      <c r="B1" s="24"/>
      <c r="C1" s="24"/>
      <c r="D1" s="24"/>
      <c r="E1" s="24"/>
      <c r="F1" s="24"/>
      <c r="G1" s="24"/>
      <c r="H1" s="24"/>
    </row>
    <row r="3" customFormat="false" ht="21.75" hidden="false" customHeight="true" outlineLevel="0" collapsed="false">
      <c r="A3" s="7" t="s">
        <v>182</v>
      </c>
      <c r="B3" s="7" t="s">
        <v>183</v>
      </c>
      <c r="C3" s="7" t="s">
        <v>184</v>
      </c>
      <c r="D3" s="7" t="s">
        <v>185</v>
      </c>
      <c r="E3" s="7" t="s">
        <v>186</v>
      </c>
      <c r="F3" s="7" t="s">
        <v>187</v>
      </c>
      <c r="G3" s="7" t="s">
        <v>188</v>
      </c>
      <c r="H3" s="7" t="s">
        <v>189</v>
      </c>
    </row>
    <row r="4" customFormat="false" ht="42" hidden="false" customHeight="true" outlineLevel="0" collapsed="false">
      <c r="A4" s="29" t="s">
        <v>190</v>
      </c>
      <c r="B4" s="19" t="s">
        <v>191</v>
      </c>
      <c r="C4" s="18" t="s">
        <v>192</v>
      </c>
      <c r="D4" s="19" t="s">
        <v>193</v>
      </c>
      <c r="E4" s="19" t="s">
        <v>194</v>
      </c>
      <c r="F4" s="19" t="s">
        <v>195</v>
      </c>
      <c r="G4" s="19" t="s">
        <v>196</v>
      </c>
      <c r="H4" s="19" t="s">
        <v>197</v>
      </c>
    </row>
    <row r="5" customFormat="false" ht="42" hidden="false" customHeight="true" outlineLevel="0" collapsed="false">
      <c r="A5" s="30" t="s">
        <v>198</v>
      </c>
      <c r="B5" s="22" t="s">
        <v>199</v>
      </c>
      <c r="C5" s="21" t="s">
        <v>200</v>
      </c>
      <c r="D5" s="22" t="s">
        <v>201</v>
      </c>
      <c r="E5" s="22" t="s">
        <v>202</v>
      </c>
      <c r="F5" s="22" t="s">
        <v>203</v>
      </c>
      <c r="G5" s="22" t="s">
        <v>204</v>
      </c>
      <c r="H5" s="22" t="s">
        <v>205</v>
      </c>
    </row>
    <row r="6" customFormat="false" ht="42" hidden="false" customHeight="true" outlineLevel="0" collapsed="false">
      <c r="A6" s="29" t="s">
        <v>206</v>
      </c>
      <c r="B6" s="19" t="s">
        <v>207</v>
      </c>
      <c r="C6" s="18" t="s">
        <v>208</v>
      </c>
      <c r="D6" s="19" t="s">
        <v>209</v>
      </c>
      <c r="E6" s="19" t="s">
        <v>210</v>
      </c>
      <c r="F6" s="19" t="s">
        <v>211</v>
      </c>
      <c r="G6" s="19" t="s">
        <v>212</v>
      </c>
      <c r="H6" s="19" t="s">
        <v>213</v>
      </c>
    </row>
    <row r="7" customFormat="false" ht="42" hidden="false" customHeight="true" outlineLevel="0" collapsed="false">
      <c r="A7" s="30" t="s">
        <v>214</v>
      </c>
      <c r="B7" s="22" t="s">
        <v>215</v>
      </c>
      <c r="C7" s="21" t="s">
        <v>216</v>
      </c>
      <c r="D7" s="22" t="s">
        <v>217</v>
      </c>
      <c r="E7" s="22" t="s">
        <v>218</v>
      </c>
      <c r="F7" s="22" t="s">
        <v>219</v>
      </c>
      <c r="G7" s="22" t="s">
        <v>220</v>
      </c>
      <c r="H7" s="22" t="s">
        <v>221</v>
      </c>
    </row>
    <row r="8" customFormat="false" ht="42" hidden="false" customHeight="true" outlineLevel="0" collapsed="false">
      <c r="A8" s="29" t="s">
        <v>222</v>
      </c>
      <c r="B8" s="19" t="s">
        <v>223</v>
      </c>
      <c r="C8" s="18" t="s">
        <v>224</v>
      </c>
      <c r="D8" s="19" t="s">
        <v>225</v>
      </c>
      <c r="E8" s="19" t="s">
        <v>226</v>
      </c>
      <c r="F8" s="19" t="s">
        <v>227</v>
      </c>
      <c r="G8" s="19" t="s">
        <v>228</v>
      </c>
      <c r="H8" s="19" t="s">
        <v>229</v>
      </c>
    </row>
    <row r="9" customFormat="false" ht="42" hidden="false" customHeight="true" outlineLevel="0" collapsed="false">
      <c r="A9" s="30" t="s">
        <v>230</v>
      </c>
      <c r="B9" s="22" t="s">
        <v>231</v>
      </c>
      <c r="C9" s="21" t="s">
        <v>232</v>
      </c>
      <c r="D9" s="22" t="s">
        <v>233</v>
      </c>
      <c r="E9" s="22" t="s">
        <v>234</v>
      </c>
      <c r="F9" s="22" t="s">
        <v>235</v>
      </c>
      <c r="G9" s="22" t="s">
        <v>236</v>
      </c>
      <c r="H9" s="22" t="s">
        <v>237</v>
      </c>
    </row>
    <row r="10" customFormat="false" ht="42" hidden="false" customHeight="true" outlineLevel="0" collapsed="false">
      <c r="A10" s="29" t="s">
        <v>238</v>
      </c>
      <c r="B10" s="19" t="s">
        <v>239</v>
      </c>
      <c r="C10" s="18" t="s">
        <v>240</v>
      </c>
      <c r="D10" s="19" t="s">
        <v>241</v>
      </c>
      <c r="E10" s="19" t="s">
        <v>242</v>
      </c>
      <c r="F10" s="19" t="s">
        <v>243</v>
      </c>
      <c r="G10" s="19" t="s">
        <v>244</v>
      </c>
      <c r="H10" s="19" t="s">
        <v>245</v>
      </c>
    </row>
    <row r="11" customFormat="false" ht="42" hidden="false" customHeight="true" outlineLevel="0" collapsed="false">
      <c r="A11" s="30" t="s">
        <v>246</v>
      </c>
      <c r="B11" s="22" t="s">
        <v>247</v>
      </c>
      <c r="C11" s="21" t="s">
        <v>248</v>
      </c>
      <c r="D11" s="22" t="s">
        <v>249</v>
      </c>
      <c r="E11" s="22" t="s">
        <v>250</v>
      </c>
      <c r="F11" s="22" t="s">
        <v>251</v>
      </c>
      <c r="G11" s="22" t="s">
        <v>252</v>
      </c>
      <c r="H11" s="22" t="s">
        <v>253</v>
      </c>
    </row>
    <row r="12" customFormat="false" ht="42" hidden="false" customHeight="true" outlineLevel="0" collapsed="false">
      <c r="A12" s="29" t="s">
        <v>254</v>
      </c>
      <c r="B12" s="19" t="s">
        <v>255</v>
      </c>
      <c r="C12" s="18" t="s">
        <v>256</v>
      </c>
      <c r="D12" s="19" t="s">
        <v>257</v>
      </c>
      <c r="E12" s="19" t="s">
        <v>258</v>
      </c>
      <c r="F12" s="19" t="s">
        <v>259</v>
      </c>
      <c r="G12" s="19" t="s">
        <v>260</v>
      </c>
      <c r="H12" s="19" t="s">
        <v>261</v>
      </c>
    </row>
    <row r="13" customFormat="false" ht="42" hidden="false" customHeight="true" outlineLevel="0" collapsed="false">
      <c r="A13" s="30" t="s">
        <v>262</v>
      </c>
      <c r="B13" s="22" t="s">
        <v>263</v>
      </c>
      <c r="C13" s="21" t="s">
        <v>264</v>
      </c>
      <c r="D13" s="22" t="s">
        <v>265</v>
      </c>
      <c r="E13" s="22" t="s">
        <v>266</v>
      </c>
      <c r="F13" s="22" t="s">
        <v>267</v>
      </c>
      <c r="G13" s="22" t="s">
        <v>268</v>
      </c>
      <c r="H13" s="22" t="s">
        <v>269</v>
      </c>
    </row>
    <row r="14" customFormat="false" ht="42" hidden="false" customHeight="true" outlineLevel="0" collapsed="false">
      <c r="A14" s="29" t="s">
        <v>270</v>
      </c>
      <c r="B14" s="19" t="s">
        <v>271</v>
      </c>
      <c r="C14" s="18" t="s">
        <v>200</v>
      </c>
      <c r="D14" s="19" t="s">
        <v>272</v>
      </c>
      <c r="E14" s="19" t="s">
        <v>273</v>
      </c>
      <c r="F14" s="19" t="s">
        <v>274</v>
      </c>
      <c r="G14" s="19" t="s">
        <v>275</v>
      </c>
      <c r="H14" s="19" t="s">
        <v>276</v>
      </c>
    </row>
    <row r="15" customFormat="false" ht="42" hidden="false" customHeight="true" outlineLevel="0" collapsed="false">
      <c r="A15" s="30" t="s">
        <v>277</v>
      </c>
      <c r="B15" s="22" t="s">
        <v>278</v>
      </c>
      <c r="C15" s="21" t="s">
        <v>279</v>
      </c>
      <c r="D15" s="22" t="s">
        <v>280</v>
      </c>
      <c r="E15" s="22" t="s">
        <v>281</v>
      </c>
      <c r="F15" s="22" t="s">
        <v>282</v>
      </c>
      <c r="G15" s="22" t="s">
        <v>283</v>
      </c>
      <c r="H15" s="22" t="s">
        <v>284</v>
      </c>
    </row>
    <row r="16" customFormat="false" ht="42" hidden="false" customHeight="true" outlineLevel="0" collapsed="false">
      <c r="A16" s="29" t="s">
        <v>285</v>
      </c>
      <c r="B16" s="19" t="s">
        <v>286</v>
      </c>
      <c r="C16" s="18" t="s">
        <v>287</v>
      </c>
      <c r="D16" s="19" t="s">
        <v>288</v>
      </c>
      <c r="E16" s="19" t="s">
        <v>289</v>
      </c>
      <c r="F16" s="19" t="s">
        <v>290</v>
      </c>
      <c r="G16" s="19" t="s">
        <v>291</v>
      </c>
      <c r="H16" s="19" t="s">
        <v>292</v>
      </c>
    </row>
    <row r="17" customFormat="false" ht="42" hidden="false" customHeight="true" outlineLevel="0" collapsed="false">
      <c r="A17" s="30" t="s">
        <v>293</v>
      </c>
      <c r="B17" s="22" t="s">
        <v>294</v>
      </c>
      <c r="C17" s="21" t="s">
        <v>295</v>
      </c>
      <c r="D17" s="22" t="s">
        <v>296</v>
      </c>
      <c r="E17" s="22" t="s">
        <v>297</v>
      </c>
      <c r="F17" s="22" t="s">
        <v>298</v>
      </c>
      <c r="G17" s="22" t="s">
        <v>299</v>
      </c>
      <c r="H17" s="22" t="s">
        <v>300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2026-10-20T09:45:21Z</dcterms:created>
  <dc:creator>openpyxl</dc:creator>
  <dc:description/>
  <dc:language>en-US</dc:language>
  <cp:lastModifiedBy/>
  <dcterms:modified xsi:type="dcterms:W3CDTF">2026-10-20T09:45:23Z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